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yed\Desktop\"/>
    </mc:Choice>
  </mc:AlternateContent>
  <xr:revisionPtr revIDLastSave="0" documentId="13_ncr:1_{C80E3382-FA93-4CED-AD43-E5A97105B899}" xr6:coauthVersionLast="47" xr6:coauthVersionMax="47" xr10:uidLastSave="{00000000-0000-0000-0000-000000000000}"/>
  <bookViews>
    <workbookView xWindow="-110" yWindow="-110" windowWidth="19420" windowHeight="10300" xr2:uid="{9A1F3689-1763-49F1-911F-960A97865216}"/>
  </bookViews>
  <sheets>
    <sheet name="Task_Tracker" sheetId="1" r:id="rId1"/>
    <sheet name="Project_Timeline" sheetId="3" r:id="rId2"/>
    <sheet name="Dashboard" sheetId="2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ail_store_sales-a0566509-ed03-42ea-b4ac-84fb40cd5862" name="retail_store_sales" connection="Query - retail_store_sales"/>
        </x15:modelTables>
        <x15:extLst>
          <ext xmlns:x16="http://schemas.microsoft.com/office/spreadsheetml/2014/11/main" uri="{9835A34E-60A6-4A7C-AAB8-D5F71C897F49}">
            <x16:modelTimeGroupings>
              <x16:modelTimeGrouping tableName="retail_store_sales" columnName="Transaction Date" columnId="Transaction Date">
                <x16:calculatedTimeColumn columnName="Transaction Date (Year)" columnId="Transaction Date (Year)" contentType="years" isSelected="1"/>
                <x16:calculatedTimeColumn columnName="Transaction Date (Quarter)" columnId="Transaction Date (Quarter)" contentType="quarters" isSelected="1"/>
                <x16:calculatedTimeColumn columnName="Transaction Date (Month Index)" columnId="Transaction Date (Month Index)" contentType="monthsindex" isSelected="1"/>
                <x16:calculatedTimeColumn columnName="Transaction Date (Month)" columnId="Transaction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D1" i="3"/>
  <c r="B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226BE0-B2DD-48BF-AE24-3C12B34BDE51}" name="Query - retail_store_sales" description="Connection to the 'retail_store_sales' query in the workbook." type="100" refreshedVersion="8" minRefreshableVersion="5">
    <extLst>
      <ext xmlns:x15="http://schemas.microsoft.com/office/spreadsheetml/2010/11/main" uri="{DE250136-89BD-433C-8126-D09CA5730AF9}">
        <x15:connection id="899bb6f2-d3b3-4aea-b968-28711ecb9395">
          <x15:oledbPr connection="Provider=Microsoft.Mashup.OleDb.1;Data Source=$Workbook$;Location=retail_store_sales;Extended Properties=&quot;&quot;">
            <x15:dbTables>
              <x15:dbTable name="retail_store_sales"/>
            </x15:dbTables>
          </x15:oledbPr>
        </x15:connection>
      </ext>
    </extLst>
  </connection>
  <connection id="2" xr16:uid="{D083BFEC-B166-4DC7-B47E-0DB68C9D9B7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<sst xmlns="http://schemas.openxmlformats.org/spreadsheetml/2006/main" count="182" uniqueCount="74">
  <si>
    <t>Task ID</t>
  </si>
  <si>
    <t>Project Name</t>
  </si>
  <si>
    <t>Task Name</t>
  </si>
  <si>
    <t>Assigned To</t>
  </si>
  <si>
    <t>Start Date</t>
  </si>
  <si>
    <t>Due Date</t>
  </si>
  <si>
    <t>Status</t>
  </si>
  <si>
    <t>Priority</t>
  </si>
  <si>
    <t>T001</t>
  </si>
  <si>
    <t>Website Upgrade</t>
  </si>
  <si>
    <t>Requirement Gathering</t>
  </si>
  <si>
    <t>Afreen</t>
  </si>
  <si>
    <t>Completed</t>
  </si>
  <si>
    <t>High</t>
  </si>
  <si>
    <t>T002</t>
  </si>
  <si>
    <t>UI Design Review</t>
  </si>
  <si>
    <t>Ali</t>
  </si>
  <si>
    <t>Medium</t>
  </si>
  <si>
    <t>T003</t>
  </si>
  <si>
    <t>Content Approval</t>
  </si>
  <si>
    <t>Sara</t>
  </si>
  <si>
    <t>In Progress</t>
  </si>
  <si>
    <t>T004</t>
  </si>
  <si>
    <t>Testing</t>
  </si>
  <si>
    <t>John</t>
  </si>
  <si>
    <t>Pending</t>
  </si>
  <si>
    <t>T005</t>
  </si>
  <si>
    <t>Inventory System</t>
  </si>
  <si>
    <t>Data Collection</t>
  </si>
  <si>
    <t>T006</t>
  </si>
  <si>
    <t>Database Setup</t>
  </si>
  <si>
    <t>T007</t>
  </si>
  <si>
    <t>Dashboard Development</t>
  </si>
  <si>
    <t>T008</t>
  </si>
  <si>
    <t>User Testing</t>
  </si>
  <si>
    <t>T009</t>
  </si>
  <si>
    <t>CRM Migration</t>
  </si>
  <si>
    <t>Data Cleaning</t>
  </si>
  <si>
    <t>T010</t>
  </si>
  <si>
    <t>Validation</t>
  </si>
  <si>
    <t>T011</t>
  </si>
  <si>
    <t>Final Review</t>
  </si>
  <si>
    <t>T012</t>
  </si>
  <si>
    <t>Deployment</t>
  </si>
  <si>
    <t>T013</t>
  </si>
  <si>
    <t>Vendor Portal</t>
  </si>
  <si>
    <t>Requirement Analysis</t>
  </si>
  <si>
    <t>T014</t>
  </si>
  <si>
    <t>Documentation</t>
  </si>
  <si>
    <t>T015</t>
  </si>
  <si>
    <t>QA Testing</t>
  </si>
  <si>
    <t>T016</t>
  </si>
  <si>
    <t>Go Live Support</t>
  </si>
  <si>
    <t>T017</t>
  </si>
  <si>
    <t>Mobile App</t>
  </si>
  <si>
    <t>Sprint Planning</t>
  </si>
  <si>
    <t>T018</t>
  </si>
  <si>
    <t>Development Tracking</t>
  </si>
  <si>
    <t>T019</t>
  </si>
  <si>
    <t>UAT Coordination</t>
  </si>
  <si>
    <t>T020</t>
  </si>
  <si>
    <t>Release Management</t>
  </si>
  <si>
    <t>PROJECT MANAGEMENT DASHBOARD</t>
  </si>
  <si>
    <t>Total Tasks</t>
  </si>
  <si>
    <t>Completion %</t>
  </si>
  <si>
    <t>Grand Total</t>
  </si>
  <si>
    <t/>
  </si>
  <si>
    <t>Count</t>
  </si>
  <si>
    <t>Count of Priority</t>
  </si>
  <si>
    <t>Statust with respect to employee</t>
  </si>
  <si>
    <t>Employee</t>
  </si>
  <si>
    <t>Total</t>
  </si>
  <si>
    <t>KPI</t>
  </si>
  <si>
    <t>Visualisation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</si>
</sst>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16" fontId="0" fillId="0" borderId="0" xfId="0" applyNumberFormat="1" applyAlignment="1">
      <alignment vertical="center" wrapText="1"/>
    </xf>
    <xf numFmtId="16" fontId="0" fillId="0" borderId="0" xfId="0" applyNumberFormat="1"/>
    <xf numFmtId="16" fontId="1" fillId="0" borderId="0" xfId="0" applyNumberFormat="1" applyFont="1" applyAlignment="1" applyProtection="1">
      <alignment horizontal="center" vertical="center" wrapText="1"/>
      <protection locked="0"/>
    </xf>
    <xf numFmtId="16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6" fontId="1" fillId="0" borderId="0" xfId="0" applyNumberFormat="1" applyFont="1" applyAlignment="1">
      <alignment textRotation="90"/>
    </xf>
    <xf numFmtId="16" fontId="1" fillId="0" borderId="0" xfId="0" applyNumberFormat="1" applyFont="1" applyAlignment="1">
      <alignment vertical="center" textRotation="90" wrapText="1"/>
    </xf>
    <xf numFmtId="0" fontId="1" fillId="0" borderId="0" xfId="0" applyFont="1"/>
    <xf numFmtId="9" fontId="3" fillId="0" borderId="0" xfId="0" applyNumberFormat="1" applyFont="1"/>
  </cellXfs>
  <cellStyles count="1">
    <cellStyle name="Normal" xfId="0" builtinId="0"/>
  </cellStyles>
  <dxfs count="30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Completed</c:v>
              </c:pt>
              <c:pt idx="1">
                <c:v>In Progress</c:v>
              </c:pt>
              <c:pt idx="2">
                <c:v>Pending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5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A3B9-4A85-AD86-D0EC52F9816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Completed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Afreen</c:v>
              </c:pt>
              <c:pt idx="1">
                <c:v>Ali</c:v>
              </c:pt>
              <c:pt idx="2">
                <c:v>John</c:v>
              </c:pt>
              <c:pt idx="3">
                <c:v>Sara</c:v>
              </c:pt>
            </c:strLit>
          </c:cat>
          <c:val>
            <c:numLit>
              <c:formatCode>General</c:formatCode>
              <c:ptCount val="4"/>
              <c:pt idx="0">
                <c:v>5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C3B-4F91-B5D6-232F05FB6031}"/>
            </c:ext>
          </c:extLst>
        </c:ser>
        <c:ser>
          <c:idx val="1"/>
          <c:order val="1"/>
          <c:tx>
            <c:v>In Progress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Afreen</c:v>
              </c:pt>
              <c:pt idx="1">
                <c:v>Ali</c:v>
              </c:pt>
              <c:pt idx="2">
                <c:v>John</c:v>
              </c:pt>
              <c:pt idx="3">
                <c:v>Sara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2</c:v>
              </c:pt>
              <c:pt idx="2">
                <c:v>0</c:v>
              </c:pt>
              <c:pt idx="3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0C3B-4F91-B5D6-232F05FB6031}"/>
            </c:ext>
          </c:extLst>
        </c:ser>
        <c:ser>
          <c:idx val="2"/>
          <c:order val="2"/>
          <c:tx>
            <c:v>Pending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Afreen</c:v>
              </c:pt>
              <c:pt idx="1">
                <c:v>Ali</c:v>
              </c:pt>
              <c:pt idx="2">
                <c:v>John</c:v>
              </c:pt>
              <c:pt idx="3">
                <c:v>Sara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5</c:v>
              </c:pt>
              <c:pt idx="3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2-0C3B-4F91-B5D6-232F05FB60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0566928"/>
        <c:axId val="1120550608"/>
      </c:barChart>
      <c:catAx>
        <c:axId val="11205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50608"/>
        <c:crosses val="autoZero"/>
        <c:auto val="1"/>
        <c:lblAlgn val="ctr"/>
        <c:lblOffset val="100"/>
        <c:noMultiLvlLbl val="0"/>
      </c:catAx>
      <c:valAx>
        <c:axId val="1120550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468776</xdr:colOff>
      <xdr:row>17</xdr:row>
      <xdr:rowOff>14053</xdr:rowOff>
    </xdr:from>
    <xdr:to>
      <xdr:col>6</xdr:col>
      <xdr:colOff>53421</xdr:colOff>
      <xdr:row>24</xdr:row>
      <xdr:rowOff>85258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7CF61-ECEE-31B1-1A11-F1599C04D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483975</xdr:colOff>
      <xdr:row>17</xdr:row>
      <xdr:rowOff>7135</xdr:rowOff>
    </xdr:from>
    <xdr:to>
      <xdr:col>12</xdr:col>
      <xdr:colOff>181427</xdr:colOff>
      <xdr:row>30</xdr:row>
      <xdr:rowOff>166309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DE309A-3DA4-2ECC-EA52-A43A4B3EE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d" refreshedDate="46180.610395717595" createdVersion="8" refreshedVersion="8" minRefreshableVersion="3" recordCount="20" xr:uid="{161CD954-F6D4-4EB4-A0D0-F4542D943A6A}">
  <cacheSource type="worksheet">
    <worksheetSource name="Table1"/>
  </cacheSource>
  <cacheFields count="8">
    <cacheField name="Task ID" numFmtId="0">
      <sharedItems/>
    </cacheField>
    <cacheField name="Project Name" numFmtId="0">
      <sharedItems count="5">
        <s v="Website Upgrade"/>
        <s v="Inventory System"/>
        <s v="CRM Migration"/>
        <s v="Vendor Portal"/>
        <s v="Mobile App"/>
      </sharedItems>
    </cacheField>
    <cacheField name="Task Name" numFmtId="0">
      <sharedItems count="20">
        <s v="Requirement Gathering"/>
        <s v="UI Design Review"/>
        <s v="Content Approval"/>
        <s v="Testing"/>
        <s v="Data Collection"/>
        <s v="Database Setup"/>
        <s v="Dashboard Development"/>
        <s v="User Testing"/>
        <s v="Data Cleaning"/>
        <s v="Validation"/>
        <s v="Final Review"/>
        <s v="Deployment"/>
        <s v="Requirement Analysis"/>
        <s v="Documentation"/>
        <s v="QA Testing"/>
        <s v="Go Live Support"/>
        <s v="Sprint Planning"/>
        <s v="Development Tracking"/>
        <s v="UAT Coordination"/>
        <s v="Release Management"/>
      </sharedItems>
    </cacheField>
    <cacheField name="Assigned To" numFmtId="0">
      <sharedItems count="4">
        <s v="Afreen"/>
        <s v="Ali"/>
        <s v="Sara"/>
        <s v="John"/>
      </sharedItems>
    </cacheField>
    <cacheField name="Start Date" numFmtId="15">
      <sharedItems containsSemiMixedTypes="0" containsNonDate="0" containsDate="1" containsString="0" minDate="2026-06-01T00:00:00" maxDate="2026-06-16T00:00:00"/>
    </cacheField>
    <cacheField name="Due Date" numFmtId="15">
      <sharedItems containsSemiMixedTypes="0" containsNonDate="0" containsDate="1" containsString="0" minDate="2026-06-02T00:00:00" maxDate="2026-06-23T00:00:00"/>
    </cacheField>
    <cacheField name="Status" numFmtId="0">
      <sharedItems count="3">
        <s v="Completed"/>
        <s v="In Progress"/>
        <s v="Pending"/>
      </sharedItems>
    </cacheField>
    <cacheField name="Priority" numFmtId="0">
      <sharedItems count="2"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001"/>
    <x v="0"/>
    <x v="0"/>
    <x v="0"/>
    <d v="2026-06-01T00:00:00"/>
    <d v="2026-06-03T00:00:00"/>
    <x v="0"/>
    <x v="0"/>
  </r>
  <r>
    <s v="T002"/>
    <x v="0"/>
    <x v="1"/>
    <x v="1"/>
    <d v="2026-06-02T00:00:00"/>
    <d v="2026-06-06T00:00:00"/>
    <x v="0"/>
    <x v="1"/>
  </r>
  <r>
    <s v="T003"/>
    <x v="0"/>
    <x v="2"/>
    <x v="2"/>
    <d v="2026-06-04T00:00:00"/>
    <d v="2026-06-08T00:00:00"/>
    <x v="1"/>
    <x v="0"/>
  </r>
  <r>
    <s v="T004"/>
    <x v="0"/>
    <x v="3"/>
    <x v="3"/>
    <d v="2026-06-05T00:00:00"/>
    <d v="2026-06-10T00:00:00"/>
    <x v="2"/>
    <x v="0"/>
  </r>
  <r>
    <s v="T005"/>
    <x v="1"/>
    <x v="4"/>
    <x v="0"/>
    <d v="2026-06-01T00:00:00"/>
    <d v="2026-06-04T00:00:00"/>
    <x v="0"/>
    <x v="1"/>
  </r>
  <r>
    <s v="T006"/>
    <x v="1"/>
    <x v="5"/>
    <x v="1"/>
    <d v="2026-06-03T00:00:00"/>
    <d v="2026-06-09T00:00:00"/>
    <x v="0"/>
    <x v="0"/>
  </r>
  <r>
    <s v="T007"/>
    <x v="1"/>
    <x v="6"/>
    <x v="2"/>
    <d v="2026-06-05T00:00:00"/>
    <d v="2026-06-15T00:00:00"/>
    <x v="1"/>
    <x v="0"/>
  </r>
  <r>
    <s v="T008"/>
    <x v="1"/>
    <x v="7"/>
    <x v="3"/>
    <d v="2026-06-10T00:00:00"/>
    <d v="2026-06-18T00:00:00"/>
    <x v="2"/>
    <x v="1"/>
  </r>
  <r>
    <s v="T009"/>
    <x v="2"/>
    <x v="8"/>
    <x v="0"/>
    <d v="2026-06-02T00:00:00"/>
    <d v="2026-06-07T00:00:00"/>
    <x v="0"/>
    <x v="0"/>
  </r>
  <r>
    <s v="T010"/>
    <x v="2"/>
    <x v="9"/>
    <x v="1"/>
    <d v="2026-06-05T00:00:00"/>
    <d v="2026-06-12T00:00:00"/>
    <x v="1"/>
    <x v="1"/>
  </r>
  <r>
    <s v="T011"/>
    <x v="2"/>
    <x v="10"/>
    <x v="2"/>
    <d v="2026-06-08T00:00:00"/>
    <d v="2026-06-16T00:00:00"/>
    <x v="2"/>
    <x v="0"/>
  </r>
  <r>
    <s v="T012"/>
    <x v="2"/>
    <x v="11"/>
    <x v="3"/>
    <d v="2026-06-15T00:00:00"/>
    <d v="2026-06-20T00:00:00"/>
    <x v="2"/>
    <x v="0"/>
  </r>
  <r>
    <s v="T013"/>
    <x v="3"/>
    <x v="12"/>
    <x v="0"/>
    <d v="2026-06-01T00:00:00"/>
    <d v="2026-06-05T00:00:00"/>
    <x v="0"/>
    <x v="0"/>
  </r>
  <r>
    <s v="T014"/>
    <x v="3"/>
    <x v="13"/>
    <x v="1"/>
    <d v="2026-06-04T00:00:00"/>
    <d v="2026-06-08T00:00:00"/>
    <x v="0"/>
    <x v="1"/>
  </r>
  <r>
    <s v="T015"/>
    <x v="3"/>
    <x v="14"/>
    <x v="2"/>
    <d v="2026-06-07T00:00:00"/>
    <d v="2026-06-14T00:00:00"/>
    <x v="1"/>
    <x v="0"/>
  </r>
  <r>
    <s v="T016"/>
    <x v="3"/>
    <x v="15"/>
    <x v="3"/>
    <d v="2026-06-12T00:00:00"/>
    <d v="2026-06-18T00:00:00"/>
    <x v="2"/>
    <x v="1"/>
  </r>
  <r>
    <s v="T017"/>
    <x v="4"/>
    <x v="16"/>
    <x v="0"/>
    <d v="2026-06-01T00:00:00"/>
    <d v="2026-06-02T00:00:00"/>
    <x v="0"/>
    <x v="0"/>
  </r>
  <r>
    <s v="T018"/>
    <x v="4"/>
    <x v="17"/>
    <x v="1"/>
    <d v="2026-06-03T00:00:00"/>
    <d v="2026-06-12T00:00:00"/>
    <x v="1"/>
    <x v="0"/>
  </r>
  <r>
    <s v="T019"/>
    <x v="4"/>
    <x v="18"/>
    <x v="2"/>
    <d v="2026-06-10T00:00:00"/>
    <d v="2026-06-17T00:00:00"/>
    <x v="2"/>
    <x v="1"/>
  </r>
  <r>
    <s v="T020"/>
    <x v="4"/>
    <x v="19"/>
    <x v="3"/>
    <d v="2026-06-15T00:00:00"/>
    <d v="2026-06-22T00:00:0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20191-1F66-46D9-922D-48D500D71A9A}" name="PivotTable11" cacheId="23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4" rowHeaderCaption="Employee" colHeaderCaption="">
  <location ref="J3:N9" firstHeaderRow="1" firstDataRow="2" firstDataCol="1"/>
  <pivotFields count="8">
    <pivotField showAll="0"/>
    <pivotField showAll="0">
      <items count="6">
        <item x="2"/>
        <item x="1"/>
        <item x="4"/>
        <item x="3"/>
        <item x="0"/>
        <item t="default"/>
      </items>
    </pivotField>
    <pivotField showAll="0">
      <items count="21">
        <item x="2"/>
        <item x="6"/>
        <item x="8"/>
        <item x="4"/>
        <item x="5"/>
        <item x="11"/>
        <item x="17"/>
        <item x="13"/>
        <item x="10"/>
        <item x="15"/>
        <item x="14"/>
        <item x="19"/>
        <item x="12"/>
        <item x="0"/>
        <item x="16"/>
        <item x="3"/>
        <item x="18"/>
        <item x="1"/>
        <item x="7"/>
        <item x="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numFmtId="15" showAll="0"/>
    <pivotField numFmtId="15" showAll="0"/>
    <pivotField axis="axisCol" dataField="1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tatust with respect to employee" fld="6" subtotal="count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9D735-D9A0-4D70-8073-B4D66E059E78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iority">
  <location ref="G3:H6" firstHeaderRow="1" firstDataRow="1" firstDataCol="1"/>
  <pivotFields count="8">
    <pivotField dataField="1" showAll="0"/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numFmtId="15" showAll="0"/>
    <pivotField numFmtId="15" showAll="0"/>
    <pivotField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Priority" fld="0" subtotal="count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DF268-B947-4F25-8416-02AC4DC43664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us">
  <location ref="D3:E7" firstHeaderRow="1" firstDataRow="1" firstDataCol="1"/>
  <pivotFields count="8">
    <pivotField dataField="1" showAll="0"/>
    <pivotField showAll="0"/>
    <pivotField showAll="0"/>
    <pivotField showAll="0"/>
    <pivotField numFmtId="15" showAll="0"/>
    <pivotField numFmtId="15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" fld="0" subtotal="count" baseField="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795445-069C-4367-8BAD-05054EB4BA71}" name="Table1" displayName="Table1" ref="A1:H21" totalsRowShown="0" headerRowDxfId="20" dataDxfId="21">
  <autoFilter ref="A1:H21" xr:uid="{2E795445-069C-4367-8BAD-05054EB4BA71}"/>
  <tableColumns count="8">
    <tableColumn id="1" xr3:uid="{EF4F454A-34E9-42BD-9F9C-1052A440DD0E}" name="Task ID" dataDxfId="29"/>
    <tableColumn id="2" xr3:uid="{1411A64A-4905-48EA-B821-559B9D93C28C}" name="Project Name" dataDxfId="28"/>
    <tableColumn id="3" xr3:uid="{EB068337-6880-4CA1-8C50-6BB2D33E3581}" name="Task Name" dataDxfId="27"/>
    <tableColumn id="4" xr3:uid="{BE1518BC-50B5-4D2F-81CF-AE7FD9524949}" name="Assigned To" dataDxfId="26"/>
    <tableColumn id="5" xr3:uid="{C1C3E10F-E5FB-4A9E-A6DB-9EC6D6B402FF}" name="Start Date" dataDxfId="25"/>
    <tableColumn id="6" xr3:uid="{FE75F416-E879-4A0C-AE83-5649B17EFD06}" name="Due Date" dataDxfId="24"/>
    <tableColumn id="7" xr3:uid="{F73CBACB-8A55-40C2-85D4-650745FFF40B}" name="Status" dataDxfId="23"/>
    <tableColumn id="8" xr3:uid="{D7305D48-23C7-4CFB-A90A-7F3F2A186020}" name="Priority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4C68-71C5-4244-8997-3F6DB0E1B703}">
  <dimension ref="A1:H21"/>
  <sheetViews>
    <sheetView tabSelected="1" workbookViewId="0">
      <selection activeCell="J12" sqref="J12"/>
    </sheetView>
  </sheetViews>
  <sheetFormatPr defaultRowHeight="14.5" x14ac:dyDescent="0.35"/>
  <cols>
    <col min="1" max="1" width="11.453125" bestFit="1" customWidth="1"/>
    <col min="2" max="2" width="16.7265625" bestFit="1" customWidth="1"/>
    <col min="3" max="3" width="21.90625" bestFit="1" customWidth="1"/>
    <col min="4" max="4" width="15.26953125" bestFit="1" customWidth="1"/>
    <col min="5" max="5" width="13.90625" bestFit="1" customWidth="1"/>
    <col min="6" max="6" width="13.1796875" bestFit="1" customWidth="1"/>
    <col min="7" max="7" width="10.6328125" bestFit="1" customWidth="1"/>
    <col min="8" max="8" width="11.54296875" bestFit="1" customWidth="1"/>
  </cols>
  <sheetData>
    <row r="1" spans="1: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2">
        <v>46174</v>
      </c>
      <c r="F2" s="2">
        <v>46176</v>
      </c>
      <c r="G2" s="1" t="s">
        <v>12</v>
      </c>
      <c r="H2" s="1" t="s">
        <v>13</v>
      </c>
    </row>
    <row r="3" spans="1:8" x14ac:dyDescent="0.35">
      <c r="A3" s="1" t="s">
        <v>14</v>
      </c>
      <c r="B3" s="1" t="s">
        <v>9</v>
      </c>
      <c r="C3" s="1" t="s">
        <v>15</v>
      </c>
      <c r="D3" s="1" t="s">
        <v>16</v>
      </c>
      <c r="E3" s="2">
        <v>46175</v>
      </c>
      <c r="F3" s="2">
        <v>46179</v>
      </c>
      <c r="G3" s="1" t="s">
        <v>12</v>
      </c>
      <c r="H3" s="1" t="s">
        <v>17</v>
      </c>
    </row>
    <row r="4" spans="1:8" x14ac:dyDescent="0.35">
      <c r="A4" s="1" t="s">
        <v>18</v>
      </c>
      <c r="B4" s="1" t="s">
        <v>9</v>
      </c>
      <c r="C4" s="1" t="s">
        <v>19</v>
      </c>
      <c r="D4" s="1" t="s">
        <v>20</v>
      </c>
      <c r="E4" s="2">
        <v>46177</v>
      </c>
      <c r="F4" s="2">
        <v>46181</v>
      </c>
      <c r="G4" s="1" t="s">
        <v>21</v>
      </c>
      <c r="H4" s="1" t="s">
        <v>13</v>
      </c>
    </row>
    <row r="5" spans="1:8" x14ac:dyDescent="0.35">
      <c r="A5" s="1" t="s">
        <v>22</v>
      </c>
      <c r="B5" s="1" t="s">
        <v>9</v>
      </c>
      <c r="C5" s="1" t="s">
        <v>23</v>
      </c>
      <c r="D5" s="1" t="s">
        <v>24</v>
      </c>
      <c r="E5" s="2">
        <v>46178</v>
      </c>
      <c r="F5" s="2">
        <v>46183</v>
      </c>
      <c r="G5" s="1" t="s">
        <v>25</v>
      </c>
      <c r="H5" s="1" t="s">
        <v>13</v>
      </c>
    </row>
    <row r="6" spans="1:8" x14ac:dyDescent="0.35">
      <c r="A6" s="1" t="s">
        <v>26</v>
      </c>
      <c r="B6" s="1" t="s">
        <v>27</v>
      </c>
      <c r="C6" s="1" t="s">
        <v>28</v>
      </c>
      <c r="D6" s="1" t="s">
        <v>11</v>
      </c>
      <c r="E6" s="2">
        <v>46174</v>
      </c>
      <c r="F6" s="2">
        <v>46177</v>
      </c>
      <c r="G6" s="1" t="s">
        <v>12</v>
      </c>
      <c r="H6" s="1" t="s">
        <v>17</v>
      </c>
    </row>
    <row r="7" spans="1:8" x14ac:dyDescent="0.35">
      <c r="A7" s="1" t="s">
        <v>29</v>
      </c>
      <c r="B7" s="1" t="s">
        <v>27</v>
      </c>
      <c r="C7" s="1" t="s">
        <v>30</v>
      </c>
      <c r="D7" s="1" t="s">
        <v>16</v>
      </c>
      <c r="E7" s="2">
        <v>46176</v>
      </c>
      <c r="F7" s="2">
        <v>46182</v>
      </c>
      <c r="G7" s="1" t="s">
        <v>12</v>
      </c>
      <c r="H7" s="1" t="s">
        <v>13</v>
      </c>
    </row>
    <row r="8" spans="1:8" x14ac:dyDescent="0.35">
      <c r="A8" s="1" t="s">
        <v>31</v>
      </c>
      <c r="B8" s="1" t="s">
        <v>27</v>
      </c>
      <c r="C8" s="1" t="s">
        <v>32</v>
      </c>
      <c r="D8" s="1" t="s">
        <v>20</v>
      </c>
      <c r="E8" s="2">
        <v>46178</v>
      </c>
      <c r="F8" s="2">
        <v>46188</v>
      </c>
      <c r="G8" s="1" t="s">
        <v>21</v>
      </c>
      <c r="H8" s="1" t="s">
        <v>13</v>
      </c>
    </row>
    <row r="9" spans="1:8" x14ac:dyDescent="0.35">
      <c r="A9" s="1" t="s">
        <v>33</v>
      </c>
      <c r="B9" s="1" t="s">
        <v>27</v>
      </c>
      <c r="C9" s="1" t="s">
        <v>34</v>
      </c>
      <c r="D9" s="1" t="s">
        <v>24</v>
      </c>
      <c r="E9" s="2">
        <v>46183</v>
      </c>
      <c r="F9" s="2">
        <v>46191</v>
      </c>
      <c r="G9" s="1" t="s">
        <v>25</v>
      </c>
      <c r="H9" s="1" t="s">
        <v>17</v>
      </c>
    </row>
    <row r="10" spans="1:8" x14ac:dyDescent="0.35">
      <c r="A10" s="1" t="s">
        <v>35</v>
      </c>
      <c r="B10" s="1" t="s">
        <v>36</v>
      </c>
      <c r="C10" s="1" t="s">
        <v>37</v>
      </c>
      <c r="D10" s="1" t="s">
        <v>11</v>
      </c>
      <c r="E10" s="2">
        <v>46175</v>
      </c>
      <c r="F10" s="2">
        <v>46180</v>
      </c>
      <c r="G10" s="1" t="s">
        <v>12</v>
      </c>
      <c r="H10" s="1" t="s">
        <v>13</v>
      </c>
    </row>
    <row r="11" spans="1:8" x14ac:dyDescent="0.35">
      <c r="A11" s="1" t="s">
        <v>38</v>
      </c>
      <c r="B11" s="1" t="s">
        <v>36</v>
      </c>
      <c r="C11" s="1" t="s">
        <v>39</v>
      </c>
      <c r="D11" s="1" t="s">
        <v>16</v>
      </c>
      <c r="E11" s="2">
        <v>46178</v>
      </c>
      <c r="F11" s="2">
        <v>46185</v>
      </c>
      <c r="G11" s="1" t="s">
        <v>21</v>
      </c>
      <c r="H11" s="1" t="s">
        <v>17</v>
      </c>
    </row>
    <row r="12" spans="1:8" x14ac:dyDescent="0.35">
      <c r="A12" s="1" t="s">
        <v>40</v>
      </c>
      <c r="B12" s="1" t="s">
        <v>36</v>
      </c>
      <c r="C12" s="1" t="s">
        <v>41</v>
      </c>
      <c r="D12" s="1" t="s">
        <v>20</v>
      </c>
      <c r="E12" s="2">
        <v>46181</v>
      </c>
      <c r="F12" s="2">
        <v>46189</v>
      </c>
      <c r="G12" s="1" t="s">
        <v>25</v>
      </c>
      <c r="H12" s="1" t="s">
        <v>13</v>
      </c>
    </row>
    <row r="13" spans="1:8" x14ac:dyDescent="0.35">
      <c r="A13" s="1" t="s">
        <v>42</v>
      </c>
      <c r="B13" s="1" t="s">
        <v>36</v>
      </c>
      <c r="C13" s="1" t="s">
        <v>43</v>
      </c>
      <c r="D13" s="1" t="s">
        <v>24</v>
      </c>
      <c r="E13" s="2">
        <v>46188</v>
      </c>
      <c r="F13" s="2">
        <v>46193</v>
      </c>
      <c r="G13" s="1" t="s">
        <v>25</v>
      </c>
      <c r="H13" s="1" t="s">
        <v>13</v>
      </c>
    </row>
    <row r="14" spans="1:8" x14ac:dyDescent="0.35">
      <c r="A14" s="1" t="s">
        <v>44</v>
      </c>
      <c r="B14" s="1" t="s">
        <v>45</v>
      </c>
      <c r="C14" s="1" t="s">
        <v>46</v>
      </c>
      <c r="D14" s="1" t="s">
        <v>11</v>
      </c>
      <c r="E14" s="2">
        <v>46174</v>
      </c>
      <c r="F14" s="2">
        <v>46178</v>
      </c>
      <c r="G14" s="1" t="s">
        <v>12</v>
      </c>
      <c r="H14" s="1" t="s">
        <v>13</v>
      </c>
    </row>
    <row r="15" spans="1:8" x14ac:dyDescent="0.35">
      <c r="A15" s="1" t="s">
        <v>47</v>
      </c>
      <c r="B15" s="1" t="s">
        <v>45</v>
      </c>
      <c r="C15" s="1" t="s">
        <v>48</v>
      </c>
      <c r="D15" s="1" t="s">
        <v>16</v>
      </c>
      <c r="E15" s="2">
        <v>46177</v>
      </c>
      <c r="F15" s="2">
        <v>46181</v>
      </c>
      <c r="G15" s="1" t="s">
        <v>12</v>
      </c>
      <c r="H15" s="1" t="s">
        <v>17</v>
      </c>
    </row>
    <row r="16" spans="1:8" x14ac:dyDescent="0.35">
      <c r="A16" s="1" t="s">
        <v>49</v>
      </c>
      <c r="B16" s="1" t="s">
        <v>45</v>
      </c>
      <c r="C16" s="1" t="s">
        <v>50</v>
      </c>
      <c r="D16" s="1" t="s">
        <v>20</v>
      </c>
      <c r="E16" s="2">
        <v>46180</v>
      </c>
      <c r="F16" s="2">
        <v>46187</v>
      </c>
      <c r="G16" s="1" t="s">
        <v>21</v>
      </c>
      <c r="H16" s="1" t="s">
        <v>13</v>
      </c>
    </row>
    <row r="17" spans="1:8" x14ac:dyDescent="0.35">
      <c r="A17" s="1" t="s">
        <v>51</v>
      </c>
      <c r="B17" s="1" t="s">
        <v>45</v>
      </c>
      <c r="C17" s="1" t="s">
        <v>52</v>
      </c>
      <c r="D17" s="1" t="s">
        <v>24</v>
      </c>
      <c r="E17" s="2">
        <v>46185</v>
      </c>
      <c r="F17" s="2">
        <v>46191</v>
      </c>
      <c r="G17" s="1" t="s">
        <v>25</v>
      </c>
      <c r="H17" s="1" t="s">
        <v>17</v>
      </c>
    </row>
    <row r="18" spans="1:8" x14ac:dyDescent="0.35">
      <c r="A18" s="1" t="s">
        <v>53</v>
      </c>
      <c r="B18" s="1" t="s">
        <v>54</v>
      </c>
      <c r="C18" s="1" t="s">
        <v>55</v>
      </c>
      <c r="D18" s="1" t="s">
        <v>11</v>
      </c>
      <c r="E18" s="2">
        <v>46174</v>
      </c>
      <c r="F18" s="2">
        <v>46175</v>
      </c>
      <c r="G18" s="1" t="s">
        <v>12</v>
      </c>
      <c r="H18" s="1" t="s">
        <v>13</v>
      </c>
    </row>
    <row r="19" spans="1:8" x14ac:dyDescent="0.35">
      <c r="A19" s="1" t="s">
        <v>56</v>
      </c>
      <c r="B19" s="1" t="s">
        <v>54</v>
      </c>
      <c r="C19" s="1" t="s">
        <v>57</v>
      </c>
      <c r="D19" s="1" t="s">
        <v>16</v>
      </c>
      <c r="E19" s="2">
        <v>46176</v>
      </c>
      <c r="F19" s="2">
        <v>46185</v>
      </c>
      <c r="G19" s="1" t="s">
        <v>21</v>
      </c>
      <c r="H19" s="1" t="s">
        <v>13</v>
      </c>
    </row>
    <row r="20" spans="1:8" x14ac:dyDescent="0.35">
      <c r="A20" s="1" t="s">
        <v>58</v>
      </c>
      <c r="B20" s="1" t="s">
        <v>54</v>
      </c>
      <c r="C20" s="1" t="s">
        <v>59</v>
      </c>
      <c r="D20" s="1" t="s">
        <v>20</v>
      </c>
      <c r="E20" s="2">
        <v>46183</v>
      </c>
      <c r="F20" s="2">
        <v>46190</v>
      </c>
      <c r="G20" s="1" t="s">
        <v>25</v>
      </c>
      <c r="H20" s="1" t="s">
        <v>17</v>
      </c>
    </row>
    <row r="21" spans="1:8" x14ac:dyDescent="0.35">
      <c r="A21" s="1" t="s">
        <v>60</v>
      </c>
      <c r="B21" s="1" t="s">
        <v>54</v>
      </c>
      <c r="C21" s="1" t="s">
        <v>61</v>
      </c>
      <c r="D21" s="1" t="s">
        <v>24</v>
      </c>
      <c r="E21" s="2">
        <v>46188</v>
      </c>
      <c r="F21" s="2">
        <v>46195</v>
      </c>
      <c r="G21" s="1" t="s">
        <v>25</v>
      </c>
      <c r="H21" s="1" t="s">
        <v>13</v>
      </c>
    </row>
  </sheetData>
  <conditionalFormatting sqref="G1:G1048576">
    <cfRule type="cellIs" dxfId="16" priority="1" operator="equal">
      <formula>"In Progress"</formula>
    </cfRule>
    <cfRule type="cellIs" dxfId="15" priority="2" operator="equal">
      <formula>"Pending"</formula>
    </cfRule>
    <cfRule type="cellIs" dxfId="14" priority="3" operator="equal">
      <formula>"Completed"</formula>
    </cfRule>
  </conditionalFormatting>
  <dataValidations count="2">
    <dataValidation type="list" allowBlank="1" showInputMessage="1" showErrorMessage="1" sqref="G1:G1048576" xr:uid="{A77C84EE-C373-40AE-BDA0-AB7BA5E65158}">
      <formula1>"Completed,In Progress,Pending"</formula1>
    </dataValidation>
    <dataValidation type="list" allowBlank="1" showInputMessage="1" showErrorMessage="1" sqref="H1:H1048576" xr:uid="{B5270E4A-4089-4E41-8FBB-D5155917EF30}">
      <formula1>"High,Medium"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3EF4-950A-49C8-942B-B5160B68C5D2}">
  <dimension ref="A1:Y21"/>
  <sheetViews>
    <sheetView zoomScale="83" zoomScaleNormal="83" workbookViewId="0">
      <pane ySplit="1" topLeftCell="A2" activePane="bottomLeft" state="frozen"/>
      <selection pane="bottomLeft" activeCell="AE3" sqref="AE3"/>
    </sheetView>
  </sheetViews>
  <sheetFormatPr defaultRowHeight="14.5" x14ac:dyDescent="0.35"/>
  <cols>
    <col min="1" max="1" width="23.6328125" bestFit="1" customWidth="1"/>
    <col min="2" max="2" width="9.36328125" style="15" bestFit="1" customWidth="1"/>
    <col min="3" max="3" width="8.7265625" style="15" bestFit="1" customWidth="1"/>
    <col min="4" max="25" width="3.6328125" style="18" customWidth="1"/>
  </cols>
  <sheetData>
    <row r="1" spans="1:25" s="21" customFormat="1" ht="34.5" x14ac:dyDescent="0.35">
      <c r="A1" s="3" t="s">
        <v>2</v>
      </c>
      <c r="B1" s="16" t="s">
        <v>4</v>
      </c>
      <c r="C1" s="16" t="s">
        <v>5</v>
      </c>
      <c r="D1" s="19">
        <f>DATE(2026,6,1)</f>
        <v>46174</v>
      </c>
      <c r="E1" s="19">
        <v>46175</v>
      </c>
      <c r="F1" s="19">
        <v>46176</v>
      </c>
      <c r="G1" s="20">
        <v>46177</v>
      </c>
      <c r="H1" s="20">
        <v>46178</v>
      </c>
      <c r="I1" s="19">
        <v>46179</v>
      </c>
      <c r="J1" s="19">
        <v>46180</v>
      </c>
      <c r="K1" s="20">
        <v>46181</v>
      </c>
      <c r="L1" s="20">
        <v>46182</v>
      </c>
      <c r="M1" s="19">
        <v>46183</v>
      </c>
      <c r="N1" s="19">
        <v>46184</v>
      </c>
      <c r="O1" s="20">
        <v>46185</v>
      </c>
      <c r="P1" s="20">
        <v>46186</v>
      </c>
      <c r="Q1" s="19">
        <v>46187</v>
      </c>
      <c r="R1" s="19">
        <v>46188</v>
      </c>
      <c r="S1" s="20">
        <v>46189</v>
      </c>
      <c r="T1" s="19">
        <v>46190</v>
      </c>
      <c r="U1" s="19">
        <v>46191</v>
      </c>
      <c r="V1" s="20">
        <v>46192</v>
      </c>
      <c r="W1" s="19">
        <v>46193</v>
      </c>
      <c r="X1" s="19">
        <v>46194</v>
      </c>
      <c r="Y1" s="19">
        <v>46195</v>
      </c>
    </row>
    <row r="2" spans="1:25" s="15" customFormat="1" x14ac:dyDescent="0.35">
      <c r="A2" s="14" t="s">
        <v>10</v>
      </c>
      <c r="B2" s="14">
        <v>46174</v>
      </c>
      <c r="C2" s="14">
        <v>46176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x14ac:dyDescent="0.35">
      <c r="A3" s="1" t="s">
        <v>15</v>
      </c>
      <c r="B3" s="14">
        <v>46175</v>
      </c>
      <c r="C3" s="14">
        <v>46179</v>
      </c>
    </row>
    <row r="4" spans="1:25" x14ac:dyDescent="0.35">
      <c r="A4" s="1" t="s">
        <v>19</v>
      </c>
      <c r="B4" s="14">
        <v>46177</v>
      </c>
      <c r="C4" s="14">
        <v>46181</v>
      </c>
    </row>
    <row r="5" spans="1:25" x14ac:dyDescent="0.35">
      <c r="A5" s="1" t="s">
        <v>23</v>
      </c>
      <c r="B5" s="14">
        <v>46178</v>
      </c>
      <c r="C5" s="14">
        <v>46183</v>
      </c>
    </row>
    <row r="6" spans="1:25" x14ac:dyDescent="0.35">
      <c r="A6" s="1" t="s">
        <v>28</v>
      </c>
      <c r="B6" s="14">
        <v>46174</v>
      </c>
      <c r="C6" s="14">
        <v>46177</v>
      </c>
    </row>
    <row r="7" spans="1:25" x14ac:dyDescent="0.35">
      <c r="A7" s="1" t="s">
        <v>30</v>
      </c>
      <c r="B7" s="14">
        <v>46176</v>
      </c>
      <c r="C7" s="14">
        <v>46182</v>
      </c>
    </row>
    <row r="8" spans="1:25" x14ac:dyDescent="0.35">
      <c r="A8" s="1" t="s">
        <v>32</v>
      </c>
      <c r="B8" s="14">
        <v>46178</v>
      </c>
      <c r="C8" s="14">
        <v>46188</v>
      </c>
    </row>
    <row r="9" spans="1:25" x14ac:dyDescent="0.35">
      <c r="A9" s="1" t="s">
        <v>34</v>
      </c>
      <c r="B9" s="14">
        <v>46183</v>
      </c>
      <c r="C9" s="14">
        <v>46191</v>
      </c>
    </row>
    <row r="10" spans="1:25" x14ac:dyDescent="0.35">
      <c r="A10" s="1" t="s">
        <v>37</v>
      </c>
      <c r="B10" s="14">
        <v>46175</v>
      </c>
      <c r="C10" s="14">
        <v>46180</v>
      </c>
    </row>
    <row r="11" spans="1:25" x14ac:dyDescent="0.35">
      <c r="A11" s="1" t="s">
        <v>39</v>
      </c>
      <c r="B11" s="14">
        <v>46178</v>
      </c>
      <c r="C11" s="14">
        <v>46185</v>
      </c>
    </row>
    <row r="12" spans="1:25" x14ac:dyDescent="0.35">
      <c r="A12" s="1" t="s">
        <v>41</v>
      </c>
      <c r="B12" s="14">
        <v>46181</v>
      </c>
      <c r="C12" s="14">
        <v>46189</v>
      </c>
    </row>
    <row r="13" spans="1:25" x14ac:dyDescent="0.35">
      <c r="A13" s="1" t="s">
        <v>43</v>
      </c>
      <c r="B13" s="14">
        <v>46188</v>
      </c>
      <c r="C13" s="14">
        <v>46193</v>
      </c>
    </row>
    <row r="14" spans="1:25" x14ac:dyDescent="0.35">
      <c r="A14" s="1" t="s">
        <v>46</v>
      </c>
      <c r="B14" s="14">
        <v>46174</v>
      </c>
      <c r="C14" s="14">
        <v>46178</v>
      </c>
    </row>
    <row r="15" spans="1:25" x14ac:dyDescent="0.35">
      <c r="A15" s="1" t="s">
        <v>48</v>
      </c>
      <c r="B15" s="14">
        <v>46177</v>
      </c>
      <c r="C15" s="14">
        <v>46181</v>
      </c>
    </row>
    <row r="16" spans="1:25" x14ac:dyDescent="0.35">
      <c r="A16" s="1" t="s">
        <v>50</v>
      </c>
      <c r="B16" s="14">
        <v>46180</v>
      </c>
      <c r="C16" s="14">
        <v>46187</v>
      </c>
    </row>
    <row r="17" spans="1:3" x14ac:dyDescent="0.35">
      <c r="A17" s="1" t="s">
        <v>52</v>
      </c>
      <c r="B17" s="14">
        <v>46185</v>
      </c>
      <c r="C17" s="14">
        <v>46191</v>
      </c>
    </row>
    <row r="18" spans="1:3" x14ac:dyDescent="0.35">
      <c r="A18" s="1" t="s">
        <v>55</v>
      </c>
      <c r="B18" s="14">
        <v>46174</v>
      </c>
      <c r="C18" s="14">
        <v>46175</v>
      </c>
    </row>
    <row r="19" spans="1:3" x14ac:dyDescent="0.35">
      <c r="A19" s="1" t="s">
        <v>57</v>
      </c>
      <c r="B19" s="14">
        <v>46176</v>
      </c>
      <c r="C19" s="14">
        <v>46185</v>
      </c>
    </row>
    <row r="20" spans="1:3" x14ac:dyDescent="0.35">
      <c r="A20" s="1" t="s">
        <v>59</v>
      </c>
      <c r="B20" s="14">
        <v>46183</v>
      </c>
      <c r="C20" s="14">
        <v>46190</v>
      </c>
    </row>
    <row r="21" spans="1:3" x14ac:dyDescent="0.35">
      <c r="A21" s="1" t="s">
        <v>61</v>
      </c>
      <c r="B21" s="14">
        <v>46188</v>
      </c>
      <c r="C21" s="14">
        <v>46195</v>
      </c>
    </row>
  </sheetData>
  <conditionalFormatting sqref="D3:Y21">
    <cfRule type="expression" dxfId="13" priority="61">
      <formula>AND(#REF!&gt;=$B2,#REF!&lt;=$C2)</formula>
    </cfRule>
  </conditionalFormatting>
  <conditionalFormatting sqref="D1:F1 I1:J1 M1:N1 Q1:R1 T1:U1">
    <cfRule type="expression" dxfId="12" priority="62">
      <formula>AND(#REF!&gt;=$B2,#REF!&lt;=$C2)</formula>
    </cfRule>
    <cfRule type="expression" dxfId="11" priority="63">
      <formula>AND(#REF!&gt;=$B2,#REF!&lt;=$C2)</formula>
    </cfRule>
    <cfRule type="expression" dxfId="10" priority="64">
      <formula>AND(#REF!&gt;=$B2,#REF!&lt;=$C2)</formula>
    </cfRule>
  </conditionalFormatting>
  <conditionalFormatting sqref="D3:Y21">
    <cfRule type="expression" dxfId="9" priority="65">
      <formula>AND(#REF!&gt;=$B3,#REF!&lt;=$C3)</formula>
    </cfRule>
    <cfRule type="expression" dxfId="8" priority="66">
      <formula>AND(#REF!&gt;=$B3,#REF!&lt;=$C3)</formula>
    </cfRule>
    <cfRule type="expression" dxfId="7" priority="67">
      <formula>AND(#REF!&gt;=$B3,#REF!&lt;=$C3)</formula>
    </cfRule>
  </conditionalFormatting>
  <conditionalFormatting sqref="W1 Y1">
    <cfRule type="expression" dxfId="6" priority="89">
      <formula>AND(Z$1&gt;=$B2,Z$1&lt;=$C2)</formula>
    </cfRule>
    <cfRule type="expression" dxfId="5" priority="90">
      <formula>AND(Z$1&gt;=$B2,Z$1&lt;=$C2)</formula>
    </cfRule>
    <cfRule type="expression" dxfId="4" priority="91">
      <formula>AND(Z$1&gt;=$B2,Z$1&lt;=$C2)</formula>
    </cfRule>
  </conditionalFormatting>
  <conditionalFormatting sqref="X1">
    <cfRule type="expression" dxfId="3" priority="101">
      <formula>AND(AB$1&gt;=$B2,AB$1&lt;=$C2)</formula>
    </cfRule>
    <cfRule type="expression" dxfId="2" priority="102">
      <formula>AND(AB$1&gt;=$B2,AB$1&lt;=$C2)</formula>
    </cfRule>
    <cfRule type="expression" dxfId="1" priority="103">
      <formula>AND(AB$1&gt;=$B2,AB$1&lt;=$C2)</formula>
    </cfRule>
  </conditionalFormatting>
  <conditionalFormatting sqref="D2:Y21">
    <cfRule type="expression" dxfId="0" priority="1">
      <formula>AND(D$1&gt;=$B2,D$1&lt;=$C2)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CAED-1FDB-4262-836D-B8711F2675F5}">
  <dimension ref="A1:O15"/>
  <sheetViews>
    <sheetView zoomScale="101" workbookViewId="0">
      <selection activeCell="D10" sqref="D10"/>
    </sheetView>
  </sheetViews>
  <sheetFormatPr defaultRowHeight="14.5" x14ac:dyDescent="0.35"/>
  <cols>
    <col min="1" max="1" width="15.6328125" bestFit="1" customWidth="1"/>
    <col min="2" max="2" width="8.54296875" bestFit="1" customWidth="1"/>
    <col min="6" max="6" width="13.90625" bestFit="1" customWidth="1"/>
    <col min="7" max="7" width="11.08984375" bestFit="1" customWidth="1"/>
    <col min="8" max="8" width="15.26953125" bestFit="1" customWidth="1"/>
    <col min="9" max="9" width="7.54296875" bestFit="1" customWidth="1"/>
    <col min="10" max="10" width="29.7265625" bestFit="1" customWidth="1"/>
    <col min="11" max="11" width="10.7265625" bestFit="1" customWidth="1"/>
    <col min="13" max="13" width="7.81640625" bestFit="1" customWidth="1"/>
  </cols>
  <sheetData>
    <row r="1" spans="1:15" ht="21" x14ac:dyDescent="0.5">
      <c r="A1" s="13" t="s">
        <v>62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15" x14ac:dyDescent="0.35">
      <c r="A3" s="9" t="s">
        <v>72</v>
      </c>
      <c r="B3" s="10"/>
      <c r="D3" s="5" t="s">
        <v>6</v>
      </c>
      <c r="E3" t="s">
        <v>67</v>
      </c>
      <c r="G3" s="5" t="s">
        <v>7</v>
      </c>
      <c r="H3" t="s">
        <v>68</v>
      </c>
      <c r="J3" s="5" t="s">
        <v>69</v>
      </c>
      <c r="K3" s="5" t="s">
        <v>66</v>
      </c>
    </row>
    <row r="4" spans="1:15" ht="18.5" x14ac:dyDescent="0.45">
      <c r="A4" s="8" t="s">
        <v>63</v>
      </c>
      <c r="B4" s="8">
        <f>ROWS(Table1[])</f>
        <v>20</v>
      </c>
      <c r="D4" s="6" t="s">
        <v>12</v>
      </c>
      <c r="E4" s="7">
        <v>8</v>
      </c>
      <c r="G4" s="6" t="s">
        <v>13</v>
      </c>
      <c r="H4" s="7">
        <v>13</v>
      </c>
      <c r="J4" s="5" t="s">
        <v>70</v>
      </c>
      <c r="K4" t="s">
        <v>12</v>
      </c>
      <c r="L4" t="s">
        <v>21</v>
      </c>
      <c r="M4" t="s">
        <v>25</v>
      </c>
      <c r="N4" t="s">
        <v>71</v>
      </c>
    </row>
    <row r="5" spans="1:15" ht="18.5" x14ac:dyDescent="0.45">
      <c r="A5" s="8" t="s">
        <v>12</v>
      </c>
      <c r="B5" s="8">
        <f>COUNTIF(Task_Tracker!G:G,"Completed")</f>
        <v>8</v>
      </c>
      <c r="D5" s="6" t="s">
        <v>21</v>
      </c>
      <c r="E5" s="7">
        <v>5</v>
      </c>
      <c r="G5" s="6" t="s">
        <v>17</v>
      </c>
      <c r="H5" s="7">
        <v>7</v>
      </c>
      <c r="J5" s="6" t="s">
        <v>11</v>
      </c>
      <c r="K5" s="7">
        <v>5</v>
      </c>
      <c r="L5" s="7"/>
      <c r="M5" s="7"/>
      <c r="N5" s="7">
        <v>5</v>
      </c>
    </row>
    <row r="6" spans="1:15" ht="18.5" x14ac:dyDescent="0.45">
      <c r="A6" s="8" t="s">
        <v>21</v>
      </c>
      <c r="B6" s="8">
        <f>COUNTIF(Task_Tracker!G:G,"In Progress")</f>
        <v>5</v>
      </c>
      <c r="D6" s="6" t="s">
        <v>25</v>
      </c>
      <c r="E6" s="7">
        <v>7</v>
      </c>
      <c r="G6" s="6" t="s">
        <v>65</v>
      </c>
      <c r="H6" s="7">
        <v>20</v>
      </c>
      <c r="J6" s="6" t="s">
        <v>16</v>
      </c>
      <c r="K6" s="7">
        <v>3</v>
      </c>
      <c r="L6" s="7">
        <v>2</v>
      </c>
      <c r="M6" s="7"/>
      <c r="N6" s="7">
        <v>5</v>
      </c>
    </row>
    <row r="7" spans="1:15" ht="18.5" x14ac:dyDescent="0.45">
      <c r="A7" s="8" t="s">
        <v>25</v>
      </c>
      <c r="B7" s="8">
        <f>COUNTIF(Task_Tracker!G:G,"Pending")</f>
        <v>7</v>
      </c>
      <c r="D7" s="6" t="s">
        <v>65</v>
      </c>
      <c r="E7" s="7">
        <v>20</v>
      </c>
      <c r="J7" s="6" t="s">
        <v>24</v>
      </c>
      <c r="K7" s="7"/>
      <c r="L7" s="7"/>
      <c r="M7" s="7">
        <v>5</v>
      </c>
      <c r="N7" s="7">
        <v>5</v>
      </c>
    </row>
    <row r="8" spans="1:15" ht="18.5" x14ac:dyDescent="0.45">
      <c r="A8" s="8" t="s">
        <v>64</v>
      </c>
      <c r="B8" s="22">
        <f>B5/B4</f>
        <v>0.4</v>
      </c>
      <c r="J8" s="6" t="s">
        <v>20</v>
      </c>
      <c r="K8" s="7"/>
      <c r="L8" s="7">
        <v>3</v>
      </c>
      <c r="M8" s="7">
        <v>2</v>
      </c>
      <c r="N8" s="7">
        <v>5</v>
      </c>
    </row>
    <row r="9" spans="1:15" x14ac:dyDescent="0.35">
      <c r="J9" s="6" t="s">
        <v>71</v>
      </c>
      <c r="K9" s="7">
        <v>8</v>
      </c>
      <c r="L9" s="7">
        <v>5</v>
      </c>
      <c r="M9" s="7">
        <v>7</v>
      </c>
      <c r="N9" s="7">
        <v>20</v>
      </c>
    </row>
    <row r="15" spans="1:15" ht="18.5" x14ac:dyDescent="0.45">
      <c r="F15" s="11" t="s">
        <v>73</v>
      </c>
      <c r="G15" s="12"/>
      <c r="H15" s="12"/>
      <c r="I15" s="12"/>
      <c r="J15" s="12"/>
    </row>
  </sheetData>
  <mergeCells count="3">
    <mergeCell ref="A1:O1"/>
    <mergeCell ref="A3:B3"/>
    <mergeCell ref="F15:J15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4C907F-865A-48DC-9B5B-83E59EA5FA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Task_Tracker</vt:lpstr>
      <vt:lpstr>Project_Timeline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sayed</dc:creator>
  <cp:lastModifiedBy>afreen sayed</cp:lastModifiedBy>
  <dcterms:created xsi:type="dcterms:W3CDTF">2026-06-06T09:56:01Z</dcterms:created>
  <dcterms:modified xsi:type="dcterms:W3CDTF">2026-06-07T10:47:46Z</dcterms:modified>
</cp:coreProperties>
</file>